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Data\0_ELTE\bsc_thesis\thesis\gravitron-3d\Gravitron3D\UserData\Particles\"/>
    </mc:Choice>
  </mc:AlternateContent>
  <xr:revisionPtr revIDLastSave="0" documentId="13_ncr:1_{88095B76-A71D-42F2-AE39-9BA00421AC9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H9" i="1"/>
  <c r="H8" i="1"/>
  <c r="H7" i="1"/>
  <c r="H6" i="1"/>
  <c r="H5" i="1"/>
  <c r="H4" i="1"/>
  <c r="H3" i="1"/>
  <c r="H2" i="1"/>
  <c r="B10" i="1"/>
  <c r="B9" i="1"/>
  <c r="B8" i="1"/>
  <c r="B7" i="1"/>
  <c r="B6" i="1"/>
  <c r="B5" i="1"/>
  <c r="B4" i="1"/>
  <c r="B3" i="1"/>
  <c r="B2" i="1"/>
  <c r="C10" i="1"/>
  <c r="C9" i="1"/>
  <c r="C8" i="1"/>
  <c r="C7" i="1"/>
  <c r="C6" i="1"/>
  <c r="C5" i="1"/>
  <c r="C4" i="1"/>
  <c r="C3" i="1"/>
  <c r="C2" i="1"/>
  <c r="A10" i="1"/>
  <c r="A9" i="1"/>
  <c r="A8" i="1"/>
  <c r="A7" i="1"/>
  <c r="A6" i="1"/>
  <c r="A5" i="1"/>
  <c r="A4" i="1"/>
  <c r="A3" i="1"/>
  <c r="A2" i="1"/>
  <c r="F10" i="1"/>
  <c r="G10" i="1"/>
  <c r="E10" i="1"/>
  <c r="F9" i="1"/>
  <c r="G9" i="1"/>
  <c r="E9" i="1"/>
  <c r="F8" i="1"/>
  <c r="G8" i="1"/>
  <c r="E8" i="1"/>
  <c r="F7" i="1"/>
  <c r="G7" i="1"/>
  <c r="E7" i="1"/>
  <c r="F6" i="1"/>
  <c r="G6" i="1"/>
  <c r="E6" i="1"/>
  <c r="F5" i="1"/>
  <c r="G5" i="1"/>
  <c r="E5" i="1"/>
  <c r="F4" i="1"/>
  <c r="G4" i="1"/>
  <c r="E4" i="1"/>
  <c r="F3" i="1"/>
  <c r="G3" i="1"/>
  <c r="E3" i="1"/>
  <c r="F2" i="1"/>
  <c r="G2" i="1"/>
  <c r="E2" i="1"/>
</calcChain>
</file>

<file path=xl/sharedStrings.xml><?xml version="1.0" encoding="utf-8"?>
<sst xmlns="http://schemas.openxmlformats.org/spreadsheetml/2006/main" count="19" uniqueCount="19">
  <si>
    <t>PositionX</t>
  </si>
  <si>
    <t>PositionY</t>
  </si>
  <si>
    <t>PositionZ</t>
  </si>
  <si>
    <t>Mass</t>
  </si>
  <si>
    <t>VelocityX</t>
  </si>
  <si>
    <t>VelocityY</t>
  </si>
  <si>
    <t>VelocityZ</t>
  </si>
  <si>
    <t>Size</t>
  </si>
  <si>
    <t>AccelerationX</t>
  </si>
  <si>
    <t>AccelerationY</t>
  </si>
  <si>
    <t>AccelerationZ</t>
  </si>
  <si>
    <t>Force</t>
  </si>
  <si>
    <t>velocity</t>
  </si>
  <si>
    <t>position</t>
  </si>
  <si>
    <t>size</t>
  </si>
  <si>
    <t>ColorX</t>
  </si>
  <si>
    <t>ColorY</t>
  </si>
  <si>
    <t>ColorZ</t>
  </si>
  <si>
    <t>Movable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</si>
</sst>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workbookViewId="0">
      <selection activeCell="C2" sqref="C2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15</v>
      </c>
      <c r="N1" t="s">
        <v>16</v>
      </c>
      <c r="O1" t="s">
        <v>17</v>
      </c>
      <c r="P1" t="s">
        <v>18</v>
      </c>
      <c r="R1">
        <v>1.1000000000000001</v>
      </c>
      <c r="S1">
        <v>10</v>
      </c>
      <c r="T1">
        <v>0.5</v>
      </c>
    </row>
    <row r="2" spans="1:20" x14ac:dyDescent="0.3">
      <c r="A2">
        <f>1000*S1</f>
        <v>10000</v>
      </c>
      <c r="B2">
        <f>-22.77*S1</f>
        <v>-227.7</v>
      </c>
      <c r="C2">
        <f>-13.04*S1</f>
        <v>-130.39999999999998</v>
      </c>
      <c r="D2">
        <v>102.40900000000001</v>
      </c>
      <c r="E2">
        <f>0.0773*R1</f>
        <v>8.5029999999999994E-2</v>
      </c>
      <c r="F2">
        <f>-0.2523*R1</f>
        <v>-0.27753000000000005</v>
      </c>
      <c r="G2">
        <f>12.24*R1</f>
        <v>13.464000000000002</v>
      </c>
      <c r="H2">
        <f>24.6*T1</f>
        <v>12.3</v>
      </c>
      <c r="I2">
        <v>0</v>
      </c>
      <c r="J2">
        <v>0</v>
      </c>
      <c r="K2">
        <v>0</v>
      </c>
      <c r="L2">
        <v>0</v>
      </c>
      <c r="M2">
        <v>0.25</v>
      </c>
      <c r="N2">
        <v>0.47</v>
      </c>
      <c r="O2">
        <v>0.85</v>
      </c>
      <c r="P2">
        <v>1</v>
      </c>
      <c r="R2" t="s">
        <v>12</v>
      </c>
      <c r="S2" t="s">
        <v>13</v>
      </c>
      <c r="T2" t="s">
        <v>14</v>
      </c>
    </row>
    <row r="3" spans="1:20" x14ac:dyDescent="0.3">
      <c r="A3">
        <f>362.8*S1</f>
        <v>3628</v>
      </c>
      <c r="B3">
        <f>-2.68*S1</f>
        <v>-26.8</v>
      </c>
      <c r="C3">
        <f>544.1*S1</f>
        <v>5441</v>
      </c>
      <c r="D3">
        <v>86.813000000000002</v>
      </c>
      <c r="E3">
        <f>-12.79*R1</f>
        <v>-14.069000000000001</v>
      </c>
      <c r="F3">
        <f>0.194*R1</f>
        <v>0.21340000000000003</v>
      </c>
      <c r="G3">
        <f>7.748*R1</f>
        <v>8.5228000000000002</v>
      </c>
      <c r="H3">
        <f>25.4*T1</f>
        <v>12.7</v>
      </c>
      <c r="I3">
        <v>0</v>
      </c>
      <c r="J3">
        <v>0</v>
      </c>
      <c r="K3">
        <v>0</v>
      </c>
      <c r="L3">
        <v>0</v>
      </c>
      <c r="M3">
        <v>0.6</v>
      </c>
      <c r="N3">
        <v>0.8</v>
      </c>
      <c r="O3">
        <v>0.85</v>
      </c>
      <c r="P3">
        <v>1</v>
      </c>
    </row>
    <row r="4" spans="1:20" x14ac:dyDescent="0.3">
      <c r="A4">
        <f>318.1*S1</f>
        <v>3181</v>
      </c>
      <c r="B4">
        <f>-11.88*S1</f>
        <v>-118.80000000000001</v>
      </c>
      <c r="C4">
        <f>-44.75*S1</f>
        <v>-447.5</v>
      </c>
      <c r="D4">
        <v>568.34</v>
      </c>
      <c r="E4">
        <f>1.808*R1</f>
        <v>1.9888000000000001</v>
      </c>
      <c r="F4">
        <f>-0.4417*R1</f>
        <v>-0.48587000000000002</v>
      </c>
      <c r="G4">
        <f>21.38*R1</f>
        <v>23.518000000000001</v>
      </c>
      <c r="H4">
        <f>58.2*T1</f>
        <v>29.1</v>
      </c>
      <c r="I4">
        <v>0</v>
      </c>
      <c r="J4">
        <v>0</v>
      </c>
      <c r="K4">
        <v>0</v>
      </c>
      <c r="L4">
        <v>0</v>
      </c>
      <c r="M4">
        <v>0.85</v>
      </c>
      <c r="N4">
        <v>0.72</v>
      </c>
      <c r="O4">
        <v>0.53</v>
      </c>
      <c r="P4">
        <v>1</v>
      </c>
    </row>
    <row r="5" spans="1:20" x14ac:dyDescent="0.3">
      <c r="A5">
        <f>15.2*S1</f>
        <v>152</v>
      </c>
      <c r="B5">
        <f>-1.05*S1</f>
        <v>-10.5</v>
      </c>
      <c r="C5">
        <f>170*S1</f>
        <v>1700</v>
      </c>
      <c r="D5">
        <v>1898.19</v>
      </c>
      <c r="E5">
        <f>-29.44*R1</f>
        <v>-32.384000000000007</v>
      </c>
      <c r="F5">
        <f>0.643*R1</f>
        <v>0.70730000000000004</v>
      </c>
      <c r="G5">
        <f>4*R1</f>
        <v>4.4000000000000004</v>
      </c>
      <c r="H5">
        <f>69.9*T1</f>
        <v>34.950000000000003</v>
      </c>
      <c r="I5">
        <v>0</v>
      </c>
      <c r="J5">
        <v>0</v>
      </c>
      <c r="K5">
        <v>0</v>
      </c>
      <c r="L5">
        <v>0</v>
      </c>
      <c r="M5">
        <v>0.8</v>
      </c>
      <c r="N5">
        <v>0.67</v>
      </c>
      <c r="O5">
        <v>0.5</v>
      </c>
      <c r="P5">
        <v>1</v>
      </c>
    </row>
    <row r="6" spans="1:20" x14ac:dyDescent="0.3">
      <c r="A6">
        <f>-45.39*S1</f>
        <v>-453.9</v>
      </c>
      <c r="B6">
        <f>1.79*S1</f>
        <v>17.899999999999999</v>
      </c>
      <c r="C6">
        <f>32.18*S1</f>
        <v>321.8</v>
      </c>
      <c r="D6">
        <v>0.64171</v>
      </c>
      <c r="E6">
        <f>-29.48*R1</f>
        <v>-32.428000000000004</v>
      </c>
      <c r="F6">
        <f>-0.1032*R1</f>
        <v>-0.11352000000000001</v>
      </c>
      <c r="G6">
        <f>-39.41*R1</f>
        <v>-43.350999999999999</v>
      </c>
      <c r="H6">
        <f>3.4*T1</f>
        <v>1.7</v>
      </c>
      <c r="I6">
        <v>0</v>
      </c>
      <c r="J6">
        <v>0</v>
      </c>
      <c r="K6">
        <v>0</v>
      </c>
      <c r="L6">
        <v>0</v>
      </c>
      <c r="M6">
        <v>0.79</v>
      </c>
      <c r="N6">
        <v>0.36</v>
      </c>
      <c r="O6">
        <v>0.21</v>
      </c>
      <c r="P6">
        <v>1</v>
      </c>
    </row>
    <row r="7" spans="1:20" x14ac:dyDescent="0.3">
      <c r="A7">
        <f>-33.5*S1</f>
        <v>-335</v>
      </c>
      <c r="B7">
        <f>0.01*S1</f>
        <v>0.1</v>
      </c>
      <c r="C7">
        <f>-0.33*S1</f>
        <v>-3.3000000000000003</v>
      </c>
      <c r="D7">
        <v>5.9721900000000003</v>
      </c>
      <c r="E7">
        <f>-0.7619*R1</f>
        <v>-0.83809000000000011</v>
      </c>
      <c r="F7">
        <f>0.00388*R1</f>
        <v>4.268000000000001E-3</v>
      </c>
      <c r="G7">
        <f>-66.83*R1</f>
        <v>-73.513000000000005</v>
      </c>
      <c r="H7">
        <f>6.4*T1</f>
        <v>3.2</v>
      </c>
      <c r="I7">
        <v>0</v>
      </c>
      <c r="J7">
        <v>0</v>
      </c>
      <c r="K7">
        <v>0</v>
      </c>
      <c r="L7">
        <v>0</v>
      </c>
      <c r="M7">
        <v>0.27</v>
      </c>
      <c r="N7">
        <v>0.5</v>
      </c>
      <c r="O7">
        <v>0.75</v>
      </c>
      <c r="P7">
        <v>1</v>
      </c>
    </row>
    <row r="8" spans="1:20" x14ac:dyDescent="0.3">
      <c r="A8">
        <f>-24.22*S1</f>
        <v>-242.2</v>
      </c>
      <c r="B8">
        <f>1.4*S1</f>
        <v>14</v>
      </c>
      <c r="C8">
        <f>0.25*S1</f>
        <v>2.5</v>
      </c>
      <c r="D8">
        <v>4.8685</v>
      </c>
      <c r="E8">
        <f>-1.802*R1</f>
        <v>-1.9822000000000002</v>
      </c>
      <c r="F8">
        <f>-0.9759*R1</f>
        <v>-1.0734900000000001</v>
      </c>
      <c r="G8">
        <f>-78.7*R1</f>
        <v>-86.570000000000007</v>
      </c>
      <c r="H8">
        <f>6.1*T1</f>
        <v>3.05</v>
      </c>
      <c r="I8">
        <v>0</v>
      </c>
      <c r="J8">
        <v>0</v>
      </c>
      <c r="K8">
        <v>0</v>
      </c>
      <c r="L8">
        <v>0</v>
      </c>
      <c r="M8">
        <v>0.9</v>
      </c>
      <c r="N8">
        <v>0.76</v>
      </c>
      <c r="O8">
        <v>0.52</v>
      </c>
      <c r="P8">
        <v>1</v>
      </c>
    </row>
    <row r="9" spans="1:20" x14ac:dyDescent="0.3">
      <c r="A9">
        <f>-12.29*S1</f>
        <v>-122.89999999999999</v>
      </c>
      <c r="B9">
        <f>1.32*S1</f>
        <v>13.200000000000001</v>
      </c>
      <c r="C9">
        <f>2.32*S1</f>
        <v>23.2</v>
      </c>
      <c r="D9">
        <v>0.33019999999999999</v>
      </c>
      <c r="E9">
        <f>-44.53*R1</f>
        <v>-48.983000000000004</v>
      </c>
      <c r="F9">
        <f>-4.254*R1</f>
        <v>-4.6794000000000002</v>
      </c>
      <c r="G9">
        <f>-102*R1</f>
        <v>-112.2</v>
      </c>
      <c r="H9">
        <f>2.4*T1</f>
        <v>1.2</v>
      </c>
      <c r="I9">
        <v>0</v>
      </c>
      <c r="J9">
        <v>0</v>
      </c>
      <c r="K9">
        <v>0</v>
      </c>
      <c r="L9">
        <v>0</v>
      </c>
      <c r="M9">
        <v>0.42</v>
      </c>
      <c r="N9">
        <v>0.38</v>
      </c>
      <c r="O9">
        <v>0.35</v>
      </c>
      <c r="P9">
        <v>1</v>
      </c>
    </row>
    <row r="10" spans="1:20" x14ac:dyDescent="0.3">
      <c r="A10">
        <f>-0.17*S1</f>
        <v>-1.7000000000000002</v>
      </c>
      <c r="B10">
        <f>0.00569*S1</f>
        <v>5.6899999999999999E-2</v>
      </c>
      <c r="C10">
        <f>-0.17*S1</f>
        <v>-1.7000000000000002</v>
      </c>
      <c r="D10">
        <v>1988410</v>
      </c>
      <c r="E10">
        <f>0.0282*R1</f>
        <v>3.1020000000000002E-2</v>
      </c>
      <c r="F10">
        <f>-0.0004792*R1</f>
        <v>-5.2712000000000006E-4</v>
      </c>
      <c r="G10">
        <f>-0.0105*R1</f>
        <v>-1.1550000000000001E-2</v>
      </c>
      <c r="H10">
        <f>169.5*T1</f>
        <v>84.75</v>
      </c>
      <c r="I10">
        <v>0</v>
      </c>
      <c r="J10">
        <v>0</v>
      </c>
      <c r="K10">
        <v>0</v>
      </c>
      <c r="L10">
        <v>0</v>
      </c>
      <c r="M10">
        <v>1</v>
      </c>
      <c r="N10">
        <v>0.85</v>
      </c>
      <c r="O10">
        <v>0</v>
      </c>
      <c r="P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Bálint Janik</dc:creator>
  <cp:lastModifiedBy>Bálint Janik</cp:lastModifiedBy>
  <dcterms:created xsi:type="dcterms:W3CDTF">2015-06-05T18:19:34Z</dcterms:created>
  <dcterms:modified xsi:type="dcterms:W3CDTF">2025-03-23T09:08:36Z</dcterms:modified>
</cp:coreProperties>
</file>